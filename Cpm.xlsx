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na\Downloads\"/>
    </mc:Choice>
  </mc:AlternateContent>
  <xr:revisionPtr revIDLastSave="0" documentId="8_{A5FE3153-FA4D-445C-A8A2-38B4C2502AC8}" xr6:coauthVersionLast="47" xr6:coauthVersionMax="47" xr10:uidLastSave="{00000000-0000-0000-0000-000000000000}"/>
  <bookViews>
    <workbookView xWindow="-98" yWindow="-98" windowWidth="19396" windowHeight="11475" xr2:uid="{43DD66BF-0B5F-4D82-8141-6EB845F4FCF6}"/>
  </bookViews>
  <sheets>
    <sheet name="Cp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1" i="1" l="1"/>
  <c r="B105" i="1"/>
  <c r="B104" i="1"/>
  <c r="B103" i="1"/>
  <c r="B107" i="1" s="1"/>
  <c r="B108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B112" i="1" l="1"/>
</calcChain>
</file>

<file path=xl/sharedStrings.xml><?xml version="1.0" encoding="utf-8"?>
<sst xmlns="http://schemas.openxmlformats.org/spreadsheetml/2006/main" count="33" uniqueCount="31">
  <si>
    <t>Sample No.</t>
  </si>
  <si>
    <t>Xi</t>
  </si>
  <si>
    <t>USL</t>
  </si>
  <si>
    <t>LSL</t>
  </si>
  <si>
    <t>Bins</t>
  </si>
  <si>
    <t>Bin</t>
  </si>
  <si>
    <t>Frequency</t>
  </si>
  <si>
    <t>More</t>
  </si>
  <si>
    <t>Digital Micrometers, +/- .0002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</si>
  <si>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</si>
  <si>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</si>
  <si>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</si>
  <si>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</si>
  <si>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</si>
  <si>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</si>
  <si>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</si>
  <si>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</si>
  <si>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</si>
  <si>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</si>
  <si>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</si>
  <si>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</si>
  <si>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</si>
  <si>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</si>
  <si>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Average, xbar</t>
  </si>
  <si>
    <t>Stdev, s</t>
  </si>
  <si>
    <t>Variance</t>
  </si>
  <si>
    <t>Target, T</t>
  </si>
  <si>
    <t>xbar - T</t>
  </si>
  <si>
    <t>(xbar - T)^2</t>
  </si>
  <si>
    <t>Spec range</t>
  </si>
  <si>
    <t>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</si>
</sst>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Continuous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Cpm!$I$3:$I$14</c:f>
              <c:strCache>
                <c:ptCount val="12"/>
                <c:pt idx="0">
                  <c:v>0.6165</c:v>
                </c:pt>
                <c:pt idx="1">
                  <c:v>0.6170</c:v>
                </c:pt>
                <c:pt idx="2">
                  <c:v>0.6175</c:v>
                </c:pt>
                <c:pt idx="3">
                  <c:v>0.6180</c:v>
                </c:pt>
                <c:pt idx="4">
                  <c:v>0.6185</c:v>
                </c:pt>
                <c:pt idx="5">
                  <c:v>0.6190</c:v>
                </c:pt>
                <c:pt idx="6">
                  <c:v>0.6195</c:v>
                </c:pt>
                <c:pt idx="7">
                  <c:v>0.6200</c:v>
                </c:pt>
                <c:pt idx="8">
                  <c:v>0.6205</c:v>
                </c:pt>
                <c:pt idx="9">
                  <c:v>0.6210</c:v>
                </c:pt>
                <c:pt idx="10">
                  <c:v>0.6215</c:v>
                </c:pt>
                <c:pt idx="11">
                  <c:v>More</c:v>
                </c:pt>
              </c:strCache>
            </c:strRef>
          </c:cat>
          <c:val>
            <c:numRef>
              <c:f>Cpm!$J$3:$J$14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17</c:v>
                </c:pt>
                <c:pt idx="4">
                  <c:v>28</c:v>
                </c:pt>
                <c:pt idx="5">
                  <c:v>22</c:v>
                </c:pt>
                <c:pt idx="6">
                  <c:v>27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F-4CC0-B796-1590C82FF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5150480"/>
        <c:axId val="725144248"/>
      </c:barChart>
      <c:catAx>
        <c:axId val="72515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5144248"/>
        <c:crosses val="autoZero"/>
        <c:auto val="1"/>
        <c:lblAlgn val="ctr"/>
        <c:lblOffset val="100"/>
        <c:noMultiLvlLbl val="0"/>
      </c:catAx>
      <c:valAx>
        <c:axId val="725144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51504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</xdr:colOff>
      <xdr:row>1</xdr:row>
      <xdr:rowOff>38099</xdr:rowOff>
    </xdr:from>
    <xdr:to>
      <xdr:col>6</xdr:col>
      <xdr:colOff>1187769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BD7527-0E27-4508-A9B5-87788884A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372" y="447674"/>
          <a:ext cx="2388872" cy="2171701"/>
        </a:xfrm>
        <a:prstGeom prst="rect">
          <a:avLst/>
        </a:prstGeom>
      </xdr:spPr>
    </xdr:pic>
    <xdr:clientData/>
  </xdr:twoCellAnchor>
  <xdr:twoCellAnchor>
    <xdr:from>
      <xdr:col>5</xdr:col>
      <xdr:colOff>548959</xdr:colOff>
      <xdr:row>12</xdr:row>
      <xdr:rowOff>28574</xdr:rowOff>
    </xdr:from>
    <xdr:to>
      <xdr:col>7</xdr:col>
      <xdr:colOff>174403</xdr:colOff>
      <xdr:row>14</xdr:row>
      <xdr:rowOff>170794</xdr:rowOff>
    </xdr:to>
    <xdr:sp macro="" textlink="">
      <xdr:nvSpPr>
        <xdr:cNvPr id="3" name="TextBox 10">
          <a:extLst>
            <a:ext uri="{FF2B5EF4-FFF2-40B4-BE49-F238E27FC236}">
              <a16:creationId xmlns:a16="http://schemas.microsoft.com/office/drawing/2014/main" id="{65D62541-F8DB-46D7-818B-30A88A177B2A}"/>
            </a:ext>
          </a:extLst>
        </xdr:cNvPr>
        <xdr:cNvSpPr txBox="1"/>
      </xdr:nvSpPr>
      <xdr:spPr>
        <a:xfrm>
          <a:off x="3892234" y="2533649"/>
          <a:ext cx="2063844" cy="53274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49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898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48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797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46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696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645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594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u="sng"/>
            <a:t>Option 2</a:t>
          </a:r>
        </a:p>
      </xdr:txBody>
    </xdr:sp>
    <xdr:clientData/>
  </xdr:twoCellAnchor>
  <xdr:twoCellAnchor>
    <xdr:from>
      <xdr:col>5</xdr:col>
      <xdr:colOff>160972</xdr:colOff>
      <xdr:row>14</xdr:row>
      <xdr:rowOff>114299</xdr:rowOff>
    </xdr:from>
    <xdr:to>
      <xdr:col>6</xdr:col>
      <xdr:colOff>1152525</xdr:colOff>
      <xdr:row>17</xdr:row>
      <xdr:rowOff>73457</xdr:rowOff>
    </xdr:to>
    <xdr:sp macro="" textlink="">
      <xdr:nvSpPr>
        <xdr:cNvPr id="4" name="TextBox 13">
          <a:extLst>
            <a:ext uri="{FF2B5EF4-FFF2-40B4-BE49-F238E27FC236}">
              <a16:creationId xmlns:a16="http://schemas.microsoft.com/office/drawing/2014/main" id="{8B2DB14B-AD21-4FC0-AECE-B54B92F52841}"/>
            </a:ext>
          </a:extLst>
        </xdr:cNvPr>
        <xdr:cNvSpPr txBox="1"/>
      </xdr:nvSpPr>
      <xdr:spPr>
        <a:xfrm>
          <a:off x="3504247" y="3009899"/>
          <a:ext cx="2210753" cy="5306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49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898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48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797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46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696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645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594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Measure a sample of the parts</a:t>
          </a:r>
        </a:p>
      </xdr:txBody>
    </xdr:sp>
    <xdr:clientData/>
  </xdr:twoCellAnchor>
  <xdr:twoCellAnchor>
    <xdr:from>
      <xdr:col>10</xdr:col>
      <xdr:colOff>353289</xdr:colOff>
      <xdr:row>1</xdr:row>
      <xdr:rowOff>3462</xdr:rowOff>
    </xdr:from>
    <xdr:to>
      <xdr:col>17</xdr:col>
      <xdr:colOff>502226</xdr:colOff>
      <xdr:row>18</xdr:row>
      <xdr:rowOff>60612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842152-A73D-4D6D-B4C4-B77CDB572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21646</xdr:colOff>
      <xdr:row>19</xdr:row>
      <xdr:rowOff>8658</xdr:rowOff>
    </xdr:from>
    <xdr:to>
      <xdr:col>15</xdr:col>
      <xdr:colOff>39027</xdr:colOff>
      <xdr:row>31</xdr:row>
      <xdr:rowOff>121227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D90F10-A709-4151-98BA-DAF98065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0987" y="3710420"/>
          <a:ext cx="4593711" cy="2294660"/>
        </a:xfrm>
        <a:prstGeom prst="rect">
          <a:avLst/>
        </a:prstGeom>
      </xdr:spPr>
    </xdr:pic>
    <xdr:clientData/>
  </xdr:twoCellAnchor>
  <xdr:twoCellAnchor>
    <xdr:from>
      <xdr:col>6</xdr:col>
      <xdr:colOff>848591</xdr:colOff>
      <xdr:row>32</xdr:row>
      <xdr:rowOff>95250</xdr:rowOff>
    </xdr:from>
    <xdr:to>
      <xdr:col>7</xdr:col>
      <xdr:colOff>147204</xdr:colOff>
      <xdr:row>34</xdr:row>
      <xdr:rowOff>138545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9411871-7E0A-49CD-B8A3-2F40E6DEF883}"/>
            </a:ext>
          </a:extLst>
        </xdr:cNvPr>
        <xdr:cNvSpPr/>
      </xdr:nvSpPr>
      <xdr:spPr>
        <a:xfrm>
          <a:off x="5411066" y="6429375"/>
          <a:ext cx="517813" cy="43382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455469</xdr:colOff>
      <xdr:row>23</xdr:row>
      <xdr:rowOff>13854</xdr:rowOff>
    </xdr:from>
    <xdr:to>
      <xdr:col>11</xdr:col>
      <xdr:colOff>597477</xdr:colOff>
      <xdr:row>29</xdr:row>
      <xdr:rowOff>51955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5B86E44-3AF7-4C00-A5A6-A82E3D4F9B85}"/>
            </a:ext>
          </a:extLst>
        </xdr:cNvPr>
        <xdr:cNvSpPr/>
      </xdr:nvSpPr>
      <xdr:spPr>
        <a:xfrm>
          <a:off x="7456344" y="4633479"/>
          <a:ext cx="1361208" cy="118110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1108364</xdr:colOff>
      <xdr:row>23</xdr:row>
      <xdr:rowOff>186822</xdr:rowOff>
    </xdr:from>
    <xdr:to>
      <xdr:col>10</xdr:col>
      <xdr:colOff>47662</xdr:colOff>
      <xdr:row>32</xdr:row>
      <xdr:rowOff>95250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179263C-D76D-4591-8EC4-D45EA0257890}"/>
            </a:ext>
          </a:extLst>
        </xdr:cNvPr>
        <xdr:cNvCxnSpPr>
          <a:stCxn id="8" idx="1"/>
          <a:endCxn id="7" idx="0"/>
        </xdr:cNvCxnSpPr>
      </xdr:nvCxnSpPr>
      <xdr:spPr>
        <a:xfrm flipH="1">
          <a:off x="5670839" y="4806447"/>
          <a:ext cx="1987298" cy="162292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1108364</xdr:colOff>
      <xdr:row>28</xdr:row>
      <xdr:rowOff>173182</xdr:rowOff>
    </xdr:from>
    <xdr:to>
      <xdr:col>11</xdr:col>
      <xdr:colOff>277091</xdr:colOff>
      <xdr:row>34</xdr:row>
      <xdr:rowOff>138545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7D790DF-D196-4E07-803E-0CD1D8BB90E4}"/>
            </a:ext>
          </a:extLst>
        </xdr:cNvPr>
        <xdr:cNvCxnSpPr>
          <a:endCxn id="7" idx="4"/>
        </xdr:cNvCxnSpPr>
      </xdr:nvCxnSpPr>
      <xdr:spPr>
        <a:xfrm flipH="1">
          <a:off x="5670839" y="5745307"/>
          <a:ext cx="2826327" cy="111788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C25B-4E01-4928-9334-A5A45AAD6412}">
  <dimension ref="A1:J112"/>
  <sheetViews>
    <sheetView tabSelected="1" zoomScale="110" zoomScaleNormal="110" workbookViewId="0">
      <pane ySplit="1" topLeftCell="A2" activePane="bottomLeft" state="frozen"/>
      <selection pane="bottomLeft" activeCell="H18" sqref="H18"/>
    </sheetView>
  </sheetViews>
  <sheetFormatPr defaultColWidth="9.1328125" defaultRowHeight="14.25" x14ac:dyDescent="0.45"/>
  <cols>
    <col min="1" max="1" width="15.1328125" style="1" customWidth="1"/>
    <col min="2" max="2" width="13.73046875" style="1" customWidth="1"/>
    <col min="3" max="4" width="9.1328125" style="1"/>
    <col min="5" max="5" width="3" style="1" customWidth="1"/>
    <col min="6" max="7" width="18.265625" style="1" customWidth="1"/>
    <col min="8" max="16384" width="9.1328125" style="1"/>
  </cols>
  <sheetData>
    <row r="1" spans="1:10" ht="32.25" customHeight="1" thickBot="1" x14ac:dyDescent="0.5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</row>
    <row r="2" spans="1:10" x14ac:dyDescent="0.45">
      <c r="A2" s="1">
        <v>1</v>
      </c>
      <c r="B2" s="2">
        <v>0.61904615929911966</v>
      </c>
      <c r="C2" s="2">
        <v>0.621</v>
      </c>
      <c r="D2" s="2">
        <v>0.61699999999999999</v>
      </c>
      <c r="H2" s="2">
        <v>0.61650000000000005</v>
      </c>
      <c r="I2" s="3" t="s">
        <v>5</v>
      </c>
      <c r="J2" s="3" t="s">
        <v>6</v>
      </c>
    </row>
    <row r="3" spans="1:10" x14ac:dyDescent="0.45">
      <c r="A3" s="1">
        <f>1+A2</f>
        <v>2</v>
      </c>
      <c r="B3" s="2">
        <v>0.61858536130735597</v>
      </c>
      <c r="C3" s="2">
        <v>0.621</v>
      </c>
      <c r="D3" s="2">
        <v>0.61699999999999999</v>
      </c>
      <c r="H3" s="2">
        <v>0.61699999999999999</v>
      </c>
      <c r="I3" s="4">
        <v>0.61650000000000005</v>
      </c>
      <c r="J3">
        <v>0</v>
      </c>
    </row>
    <row r="4" spans="1:10" x14ac:dyDescent="0.45">
      <c r="A4" s="1">
        <f t="shared" ref="A4:A67" si="0">1+A3</f>
        <v>3</v>
      </c>
      <c r="B4" s="2">
        <v>0.61932287533587083</v>
      </c>
      <c r="C4" s="2">
        <v>0.621</v>
      </c>
      <c r="D4" s="2">
        <v>0.61699999999999999</v>
      </c>
      <c r="H4" s="2">
        <v>0.61750000000000005</v>
      </c>
      <c r="I4" s="4">
        <v>0.61699999999999999</v>
      </c>
      <c r="J4">
        <v>0</v>
      </c>
    </row>
    <row r="5" spans="1:10" x14ac:dyDescent="0.45">
      <c r="A5" s="1">
        <f t="shared" si="0"/>
        <v>4</v>
      </c>
      <c r="B5" s="2">
        <v>0.61941235870058886</v>
      </c>
      <c r="C5" s="2">
        <v>0.621</v>
      </c>
      <c r="D5" s="2">
        <v>0.61699999999999999</v>
      </c>
      <c r="H5" s="2">
        <v>0.61799999999999999</v>
      </c>
      <c r="I5" s="4">
        <v>0.61750000000000005</v>
      </c>
      <c r="J5">
        <v>2</v>
      </c>
    </row>
    <row r="6" spans="1:10" x14ac:dyDescent="0.45">
      <c r="A6" s="1">
        <f t="shared" si="0"/>
        <v>5</v>
      </c>
      <c r="B6" s="2">
        <v>0.61873032498575053</v>
      </c>
      <c r="C6" s="2">
        <v>0.621</v>
      </c>
      <c r="D6" s="2">
        <v>0.61699999999999999</v>
      </c>
      <c r="H6" s="2">
        <v>0.61850000000000005</v>
      </c>
      <c r="I6" s="4">
        <v>0.61799999999999999</v>
      </c>
      <c r="J6">
        <v>17</v>
      </c>
    </row>
    <row r="7" spans="1:10" x14ac:dyDescent="0.45">
      <c r="A7" s="1">
        <f t="shared" si="0"/>
        <v>6</v>
      </c>
      <c r="B7" s="2">
        <v>0.61848074235918471</v>
      </c>
      <c r="C7" s="2">
        <v>0.621</v>
      </c>
      <c r="D7" s="2">
        <v>0.61699999999999999</v>
      </c>
      <c r="H7" s="2">
        <v>0.61899999999999999</v>
      </c>
      <c r="I7" s="4">
        <v>0.61850000000000005</v>
      </c>
      <c r="J7">
        <v>28</v>
      </c>
    </row>
    <row r="8" spans="1:10" x14ac:dyDescent="0.45">
      <c r="A8" s="1">
        <f t="shared" si="0"/>
        <v>7</v>
      </c>
      <c r="B8" s="2">
        <v>0.61867314141587126</v>
      </c>
      <c r="C8" s="2">
        <v>0.621</v>
      </c>
      <c r="D8" s="2">
        <v>0.61699999999999999</v>
      </c>
      <c r="H8" s="2">
        <v>0.61950000000000005</v>
      </c>
      <c r="I8" s="4">
        <v>0.61899999999999999</v>
      </c>
      <c r="J8">
        <v>22</v>
      </c>
    </row>
    <row r="9" spans="1:10" x14ac:dyDescent="0.45">
      <c r="A9" s="1">
        <f t="shared" si="0"/>
        <v>8</v>
      </c>
      <c r="B9" s="2">
        <v>0.61769112451607366</v>
      </c>
      <c r="C9" s="2">
        <v>0.621</v>
      </c>
      <c r="D9" s="2">
        <v>0.61699999999999999</v>
      </c>
      <c r="H9" s="2">
        <v>0.62</v>
      </c>
      <c r="I9" s="4">
        <v>0.61950000000000005</v>
      </c>
      <c r="J9">
        <v>27</v>
      </c>
    </row>
    <row r="10" spans="1:10" x14ac:dyDescent="0.45">
      <c r="A10" s="1">
        <f t="shared" si="0"/>
        <v>9</v>
      </c>
      <c r="B10" s="2">
        <v>0.61815210190566727</v>
      </c>
      <c r="C10" s="2">
        <v>0.621</v>
      </c>
      <c r="D10" s="2">
        <v>0.61699999999999999</v>
      </c>
      <c r="H10" s="2">
        <v>0.62050000000000005</v>
      </c>
      <c r="I10" s="4">
        <v>0.62</v>
      </c>
      <c r="J10">
        <v>4</v>
      </c>
    </row>
    <row r="11" spans="1:10" x14ac:dyDescent="0.45">
      <c r="A11" s="1">
        <f t="shared" si="0"/>
        <v>10</v>
      </c>
      <c r="B11" s="2">
        <v>0.61901987171900696</v>
      </c>
      <c r="C11" s="2">
        <v>0.621</v>
      </c>
      <c r="D11" s="2">
        <v>0.61699999999999999</v>
      </c>
      <c r="H11" s="2">
        <v>0.621</v>
      </c>
      <c r="I11" s="4">
        <v>0.62050000000000005</v>
      </c>
      <c r="J11">
        <v>0</v>
      </c>
    </row>
    <row r="12" spans="1:10" x14ac:dyDescent="0.45">
      <c r="A12" s="1">
        <f t="shared" si="0"/>
        <v>11</v>
      </c>
      <c r="B12" s="2">
        <v>0.61857905987331474</v>
      </c>
      <c r="C12" s="2">
        <v>0.621</v>
      </c>
      <c r="D12" s="2">
        <v>0.61699999999999999</v>
      </c>
      <c r="H12" s="2">
        <v>0.62150000000000005</v>
      </c>
      <c r="I12" s="4">
        <v>0.621</v>
      </c>
      <c r="J12">
        <v>0</v>
      </c>
    </row>
    <row r="13" spans="1:10" x14ac:dyDescent="0.45">
      <c r="A13" s="1">
        <f t="shared" si="0"/>
        <v>12</v>
      </c>
      <c r="B13" s="2">
        <v>0.61951985824585432</v>
      </c>
      <c r="C13" s="2">
        <v>0.621</v>
      </c>
      <c r="D13" s="2">
        <v>0.61699999999999999</v>
      </c>
      <c r="I13" s="4">
        <v>0.62150000000000005</v>
      </c>
      <c r="J13">
        <v>0</v>
      </c>
    </row>
    <row r="14" spans="1:10" ht="14.65" thickBot="1" x14ac:dyDescent="0.5">
      <c r="A14" s="1">
        <f t="shared" si="0"/>
        <v>13</v>
      </c>
      <c r="B14" s="2">
        <v>0.61850135401023731</v>
      </c>
      <c r="C14" s="2">
        <v>0.621</v>
      </c>
      <c r="D14" s="2">
        <v>0.61699999999999999</v>
      </c>
      <c r="I14" s="5" t="s">
        <v>7</v>
      </c>
      <c r="J14" s="5">
        <v>0</v>
      </c>
    </row>
    <row r="15" spans="1:10" x14ac:dyDescent="0.45">
      <c r="A15" s="1">
        <f t="shared" si="0"/>
        <v>14</v>
      </c>
      <c r="B15" s="2">
        <v>0.61766132401267537</v>
      </c>
      <c r="C15" s="2">
        <v>0.621</v>
      </c>
      <c r="D15" s="2">
        <v>0.61699999999999999</v>
      </c>
    </row>
    <row r="16" spans="1:10" x14ac:dyDescent="0.45">
      <c r="A16" s="1">
        <f t="shared" si="0"/>
        <v>15</v>
      </c>
      <c r="B16" s="2">
        <v>0.61890542818169347</v>
      </c>
      <c r="C16" s="2">
        <v>0.621</v>
      </c>
      <c r="D16" s="2">
        <v>0.61699999999999999</v>
      </c>
    </row>
    <row r="17" spans="1:7" x14ac:dyDescent="0.45">
      <c r="A17" s="1">
        <f t="shared" si="0"/>
        <v>16</v>
      </c>
      <c r="B17" s="2">
        <v>0.61907922034102381</v>
      </c>
      <c r="C17" s="2">
        <v>0.621</v>
      </c>
      <c r="D17" s="2">
        <v>0.61699999999999999</v>
      </c>
    </row>
    <row r="18" spans="1:7" ht="15" customHeight="1" x14ac:dyDescent="0.45">
      <c r="A18" s="1">
        <f t="shared" si="0"/>
        <v>17</v>
      </c>
      <c r="B18" s="2">
        <v>0.61913521156334905</v>
      </c>
      <c r="C18" s="2">
        <v>0.621</v>
      </c>
      <c r="D18" s="2">
        <v>0.61699999999999999</v>
      </c>
      <c r="F18" s="8" t="s">
        <v>8</v>
      </c>
      <c r="G18" s="8"/>
    </row>
    <row r="19" spans="1:7" ht="14.65" thickBot="1" x14ac:dyDescent="0.5">
      <c r="A19" s="1">
        <f t="shared" si="0"/>
        <v>18</v>
      </c>
      <c r="B19" s="2">
        <v>0.61914249388742615</v>
      </c>
      <c r="C19" s="2">
        <v>0.621</v>
      </c>
      <c r="D19" s="2">
        <v>0.61699999999999999</v>
      </c>
    </row>
    <row r="20" spans="1:7" x14ac:dyDescent="0.45">
      <c r="A20" s="1">
        <f t="shared" si="0"/>
        <v>19</v>
      </c>
      <c r="B20" s="2">
        <v>0.61850800946509121</v>
      </c>
      <c r="C20" s="2">
        <v>0.621</v>
      </c>
      <c r="D20" s="2">
        <v>0.61699999999999999</v>
      </c>
      <c r="F20" s="6" t="s">
        <v>9</v>
      </c>
      <c r="G20" s="6"/>
    </row>
    <row r="21" spans="1:7" x14ac:dyDescent="0.45">
      <c r="A21" s="1">
        <f t="shared" si="0"/>
        <v>20</v>
      </c>
      <c r="B21" s="2">
        <v>0.61850259342414216</v>
      </c>
      <c r="C21" s="2">
        <v>0.621</v>
      </c>
      <c r="D21" s="2">
        <v>0.61699999999999999</v>
      </c>
      <c r="F21"/>
      <c r="G21"/>
    </row>
    <row r="22" spans="1:7" x14ac:dyDescent="0.45">
      <c r="A22" s="1">
        <f t="shared" si="0"/>
        <v>21</v>
      </c>
      <c r="B22" s="2">
        <v>0.61846810811353503</v>
      </c>
      <c r="C22" s="2">
        <v>0.621</v>
      </c>
      <c r="D22" s="2">
        <v>0.61699999999999999</v>
      </c>
      <c r="F22" t="s">
        <v>10</v>
      </c>
      <c r="G22">
        <v>0.61856355865934798</v>
      </c>
    </row>
    <row r="23" spans="1:7" x14ac:dyDescent="0.45">
      <c r="A23" s="1">
        <f t="shared" si="0"/>
        <v>22</v>
      </c>
      <c r="B23" s="2">
        <v>0.61900630842451942</v>
      </c>
      <c r="C23" s="2">
        <v>0.621</v>
      </c>
      <c r="D23" s="2">
        <v>0.61699999999999999</v>
      </c>
      <c r="F23" t="s">
        <v>11</v>
      </c>
      <c r="G23">
        <v>5.8411641118166314E-5</v>
      </c>
    </row>
    <row r="24" spans="1:7" x14ac:dyDescent="0.45">
      <c r="A24" s="1">
        <f t="shared" si="0"/>
        <v>23</v>
      </c>
      <c r="B24" s="2">
        <v>0.61779601017356622</v>
      </c>
      <c r="C24" s="2">
        <v>0.621</v>
      </c>
      <c r="D24" s="2">
        <v>0.61699999999999999</v>
      </c>
      <c r="F24" t="s">
        <v>12</v>
      </c>
      <c r="G24">
        <v>0.61854353466920298</v>
      </c>
    </row>
    <row r="25" spans="1:7" x14ac:dyDescent="0.45">
      <c r="A25" s="1">
        <f t="shared" si="0"/>
        <v>24</v>
      </c>
      <c r="B25" s="2">
        <v>0.61876810630515688</v>
      </c>
      <c r="C25" s="2">
        <v>0.621</v>
      </c>
      <c r="D25" s="2">
        <v>0.61699999999999999</v>
      </c>
      <c r="F25" t="s">
        <v>13</v>
      </c>
      <c r="G25" t="e">
        <v>#N/A</v>
      </c>
    </row>
    <row r="26" spans="1:7" x14ac:dyDescent="0.45">
      <c r="A26" s="1">
        <f t="shared" si="0"/>
        <v>25</v>
      </c>
      <c r="B26" s="2">
        <v>0.6192109802027117</v>
      </c>
      <c r="C26" s="2">
        <v>0.621</v>
      </c>
      <c r="D26" s="2">
        <v>0.61699999999999999</v>
      </c>
      <c r="E26"/>
      <c r="F26" t="s">
        <v>14</v>
      </c>
      <c r="G26">
        <v>5.8411641118166313E-4</v>
      </c>
    </row>
    <row r="27" spans="1:7" x14ac:dyDescent="0.45">
      <c r="A27" s="1">
        <f t="shared" si="0"/>
        <v>26</v>
      </c>
      <c r="B27" s="2">
        <v>0.61952357444120576</v>
      </c>
      <c r="C27" s="2">
        <v>0.621</v>
      </c>
      <c r="D27" s="2">
        <v>0.61699999999999999</v>
      </c>
      <c r="E27"/>
      <c r="F27" t="s">
        <v>15</v>
      </c>
      <c r="G27">
        <v>3.4119198181174581E-7</v>
      </c>
    </row>
    <row r="28" spans="1:7" x14ac:dyDescent="0.45">
      <c r="A28" s="1">
        <f t="shared" si="0"/>
        <v>27</v>
      </c>
      <c r="B28" s="2">
        <v>0.61804793656797852</v>
      </c>
      <c r="C28" s="2">
        <v>0.621</v>
      </c>
      <c r="D28" s="2">
        <v>0.61699999999999999</v>
      </c>
      <c r="E28"/>
      <c r="F28" t="s">
        <v>16</v>
      </c>
      <c r="G28">
        <v>-1.0483887629906627</v>
      </c>
    </row>
    <row r="29" spans="1:7" x14ac:dyDescent="0.45">
      <c r="A29" s="1">
        <f t="shared" si="0"/>
        <v>28</v>
      </c>
      <c r="B29" s="2">
        <v>0.61872234144125837</v>
      </c>
      <c r="C29" s="2">
        <v>0.621</v>
      </c>
      <c r="D29" s="2">
        <v>0.61699999999999999</v>
      </c>
      <c r="E29"/>
      <c r="F29" t="s">
        <v>17</v>
      </c>
      <c r="G29">
        <v>-5.4649414891589608E-2</v>
      </c>
    </row>
    <row r="30" spans="1:7" x14ac:dyDescent="0.45">
      <c r="A30" s="1">
        <f t="shared" si="0"/>
        <v>29</v>
      </c>
      <c r="B30" s="2">
        <v>0.61771937251201603</v>
      </c>
      <c r="C30" s="2">
        <v>0.621</v>
      </c>
      <c r="D30" s="2">
        <v>0.61699999999999999</v>
      </c>
      <c r="E30"/>
      <c r="F30" t="s">
        <v>18</v>
      </c>
      <c r="G30">
        <v>2.2645490389550105E-3</v>
      </c>
    </row>
    <row r="31" spans="1:7" x14ac:dyDescent="0.45">
      <c r="A31" s="1">
        <f t="shared" si="0"/>
        <v>30</v>
      </c>
      <c r="B31" s="2">
        <v>0.61942031496023997</v>
      </c>
      <c r="C31" s="2">
        <v>0.621</v>
      </c>
      <c r="D31" s="2">
        <v>0.61699999999999999</v>
      </c>
      <c r="E31"/>
      <c r="F31" t="s">
        <v>19</v>
      </c>
      <c r="G31">
        <v>0.6174203879522393</v>
      </c>
    </row>
    <row r="32" spans="1:7" x14ac:dyDescent="0.45">
      <c r="A32" s="1">
        <f t="shared" si="0"/>
        <v>31</v>
      </c>
      <c r="B32" s="2">
        <v>0.61827243896864825</v>
      </c>
      <c r="C32" s="2">
        <v>0.621</v>
      </c>
      <c r="D32" s="2">
        <v>0.61699999999999999</v>
      </c>
      <c r="E32"/>
      <c r="F32" t="s">
        <v>20</v>
      </c>
      <c r="G32">
        <v>0.61968493699119431</v>
      </c>
    </row>
    <row r="33" spans="1:7" x14ac:dyDescent="0.45">
      <c r="A33" s="1">
        <f t="shared" si="0"/>
        <v>32</v>
      </c>
      <c r="B33" s="2">
        <v>0.6180154437328893</v>
      </c>
      <c r="C33" s="2">
        <v>0.621</v>
      </c>
      <c r="D33" s="2">
        <v>0.61699999999999999</v>
      </c>
      <c r="E33"/>
      <c r="F33" t="s">
        <v>21</v>
      </c>
      <c r="G33">
        <v>61.856355865934802</v>
      </c>
    </row>
    <row r="34" spans="1:7" ht="14.65" thickBot="1" x14ac:dyDescent="0.5">
      <c r="A34" s="1">
        <f t="shared" si="0"/>
        <v>33</v>
      </c>
      <c r="B34" s="2">
        <v>0.61770070149528333</v>
      </c>
      <c r="C34" s="2">
        <v>0.621</v>
      </c>
      <c r="D34" s="2">
        <v>0.61699999999999999</v>
      </c>
      <c r="E34"/>
      <c r="F34" s="5" t="s">
        <v>22</v>
      </c>
      <c r="G34" s="5">
        <v>100</v>
      </c>
    </row>
    <row r="35" spans="1:7" x14ac:dyDescent="0.45">
      <c r="A35" s="1">
        <f t="shared" si="0"/>
        <v>34</v>
      </c>
      <c r="B35" s="2">
        <v>0.61819625696394365</v>
      </c>
      <c r="C35" s="2">
        <v>0.621</v>
      </c>
      <c r="D35" s="2">
        <v>0.61699999999999999</v>
      </c>
      <c r="E35"/>
      <c r="F35"/>
      <c r="G35"/>
    </row>
    <row r="36" spans="1:7" x14ac:dyDescent="0.45">
      <c r="A36" s="1">
        <f t="shared" si="0"/>
        <v>35</v>
      </c>
      <c r="B36" s="2">
        <v>0.61932099813880637</v>
      </c>
      <c r="C36" s="2">
        <v>0.621</v>
      </c>
      <c r="D36" s="2">
        <v>0.61699999999999999</v>
      </c>
      <c r="E36"/>
      <c r="F36"/>
      <c r="G36"/>
    </row>
    <row r="37" spans="1:7" x14ac:dyDescent="0.45">
      <c r="A37" s="1">
        <f t="shared" si="0"/>
        <v>36</v>
      </c>
      <c r="B37" s="2">
        <v>0.61823781518747278</v>
      </c>
      <c r="C37" s="2">
        <v>0.621</v>
      </c>
      <c r="D37" s="2">
        <v>0.61699999999999999</v>
      </c>
      <c r="E37"/>
      <c r="F37"/>
      <c r="G37"/>
    </row>
    <row r="38" spans="1:7" x14ac:dyDescent="0.45">
      <c r="A38" s="1">
        <f t="shared" si="0"/>
        <v>37</v>
      </c>
      <c r="B38" s="2">
        <v>0.61914847063185885</v>
      </c>
      <c r="C38" s="2">
        <v>0.621</v>
      </c>
      <c r="D38" s="2">
        <v>0.61699999999999999</v>
      </c>
      <c r="E38"/>
      <c r="F38"/>
      <c r="G38"/>
    </row>
    <row r="39" spans="1:7" x14ac:dyDescent="0.45">
      <c r="A39" s="1">
        <f t="shared" si="0"/>
        <v>38</v>
      </c>
      <c r="B39" s="2">
        <v>0.61939175318862549</v>
      </c>
      <c r="C39" s="2">
        <v>0.621</v>
      </c>
      <c r="D39" s="2">
        <v>0.61699999999999999</v>
      </c>
      <c r="E39"/>
      <c r="F39"/>
      <c r="G39"/>
    </row>
    <row r="40" spans="1:7" x14ac:dyDescent="0.45">
      <c r="A40" s="1">
        <f t="shared" si="0"/>
        <v>39</v>
      </c>
      <c r="B40" s="2">
        <v>0.61810603145154897</v>
      </c>
      <c r="C40" s="2">
        <v>0.621</v>
      </c>
      <c r="D40" s="2">
        <v>0.61699999999999999</v>
      </c>
      <c r="E40"/>
      <c r="F40"/>
      <c r="G40"/>
    </row>
    <row r="41" spans="1:7" x14ac:dyDescent="0.45">
      <c r="A41" s="1">
        <f t="shared" si="0"/>
        <v>40</v>
      </c>
      <c r="B41" s="2">
        <v>0.61869711455934162</v>
      </c>
      <c r="C41" s="2">
        <v>0.621</v>
      </c>
      <c r="D41" s="2">
        <v>0.61699999999999999</v>
      </c>
      <c r="F41"/>
      <c r="G41"/>
    </row>
    <row r="42" spans="1:7" x14ac:dyDescent="0.45">
      <c r="A42" s="1">
        <f t="shared" si="0"/>
        <v>41</v>
      </c>
      <c r="B42" s="2">
        <v>0.61769655692792735</v>
      </c>
      <c r="C42" s="2">
        <v>0.621</v>
      </c>
      <c r="D42" s="2">
        <v>0.61699999999999999</v>
      </c>
      <c r="F42"/>
      <c r="G42"/>
    </row>
    <row r="43" spans="1:7" x14ac:dyDescent="0.45">
      <c r="A43" s="1">
        <f t="shared" si="0"/>
        <v>42</v>
      </c>
      <c r="B43" s="2">
        <v>0.61866416402104374</v>
      </c>
      <c r="C43" s="2">
        <v>0.621</v>
      </c>
      <c r="D43" s="2">
        <v>0.61699999999999999</v>
      </c>
      <c r="F43"/>
      <c r="G43"/>
    </row>
    <row r="44" spans="1:7" x14ac:dyDescent="0.45">
      <c r="A44" s="1">
        <f t="shared" si="0"/>
        <v>43</v>
      </c>
      <c r="B44" s="2">
        <v>0.61932938822743022</v>
      </c>
      <c r="C44" s="2">
        <v>0.621</v>
      </c>
      <c r="D44" s="2">
        <v>0.61699999999999999</v>
      </c>
      <c r="F44"/>
      <c r="G44"/>
    </row>
    <row r="45" spans="1:7" x14ac:dyDescent="0.45">
      <c r="A45" s="1">
        <f t="shared" si="0"/>
        <v>44</v>
      </c>
      <c r="B45" s="2">
        <v>0.6180007337929565</v>
      </c>
      <c r="C45" s="2">
        <v>0.621</v>
      </c>
      <c r="D45" s="2">
        <v>0.61699999999999999</v>
      </c>
      <c r="F45"/>
      <c r="G45"/>
    </row>
    <row r="46" spans="1:7" x14ac:dyDescent="0.45">
      <c r="A46" s="1">
        <f t="shared" si="0"/>
        <v>45</v>
      </c>
      <c r="B46" s="2">
        <v>0.61904491101764147</v>
      </c>
      <c r="C46" s="2">
        <v>0.621</v>
      </c>
      <c r="D46" s="2">
        <v>0.61699999999999999</v>
      </c>
    </row>
    <row r="47" spans="1:7" x14ac:dyDescent="0.45">
      <c r="A47" s="1">
        <f t="shared" si="0"/>
        <v>46</v>
      </c>
      <c r="B47" s="2">
        <v>0.61884594518183444</v>
      </c>
      <c r="C47" s="2">
        <v>0.621</v>
      </c>
      <c r="D47" s="2">
        <v>0.61699999999999999</v>
      </c>
    </row>
    <row r="48" spans="1:7" x14ac:dyDescent="0.45">
      <c r="A48" s="1">
        <f t="shared" si="0"/>
        <v>47</v>
      </c>
      <c r="B48" s="2">
        <v>0.61895965953177079</v>
      </c>
      <c r="C48" s="2">
        <v>0.621</v>
      </c>
      <c r="D48" s="2">
        <v>0.61699999999999999</v>
      </c>
    </row>
    <row r="49" spans="1:4" x14ac:dyDescent="0.45">
      <c r="A49" s="1">
        <f t="shared" si="0"/>
        <v>48</v>
      </c>
      <c r="B49" s="2">
        <v>0.61906240605772478</v>
      </c>
      <c r="C49" s="2">
        <v>0.621</v>
      </c>
      <c r="D49" s="2">
        <v>0.61699999999999999</v>
      </c>
    </row>
    <row r="50" spans="1:4" x14ac:dyDescent="0.45">
      <c r="A50" s="1">
        <f t="shared" si="0"/>
        <v>49</v>
      </c>
      <c r="B50" s="2">
        <v>0.61968493699119431</v>
      </c>
      <c r="C50" s="2">
        <v>0.621</v>
      </c>
      <c r="D50" s="2">
        <v>0.61699999999999999</v>
      </c>
    </row>
    <row r="51" spans="1:4" x14ac:dyDescent="0.45">
      <c r="A51" s="1">
        <f t="shared" si="0"/>
        <v>50</v>
      </c>
      <c r="B51" s="2">
        <v>0.61802265852698479</v>
      </c>
      <c r="C51" s="2">
        <v>0.621</v>
      </c>
      <c r="D51" s="2">
        <v>0.61699999999999999</v>
      </c>
    </row>
    <row r="52" spans="1:4" x14ac:dyDescent="0.45">
      <c r="A52" s="1">
        <f t="shared" si="0"/>
        <v>51</v>
      </c>
      <c r="B52" s="2">
        <v>0.61807639056447083</v>
      </c>
      <c r="C52" s="2">
        <v>0.621</v>
      </c>
      <c r="D52" s="2">
        <v>0.61699999999999999</v>
      </c>
    </row>
    <row r="53" spans="1:4" x14ac:dyDescent="0.45">
      <c r="A53" s="1">
        <f t="shared" si="0"/>
        <v>52</v>
      </c>
      <c r="B53" s="2">
        <v>0.6174203879522393</v>
      </c>
      <c r="C53" s="2">
        <v>0.621</v>
      </c>
      <c r="D53" s="2">
        <v>0.61699999999999999</v>
      </c>
    </row>
    <row r="54" spans="1:4" x14ac:dyDescent="0.45">
      <c r="A54" s="1">
        <f t="shared" si="0"/>
        <v>53</v>
      </c>
      <c r="B54" s="2">
        <v>0.61807290901875245</v>
      </c>
      <c r="C54" s="2">
        <v>0.621</v>
      </c>
      <c r="D54" s="2">
        <v>0.61699999999999999</v>
      </c>
    </row>
    <row r="55" spans="1:4" x14ac:dyDescent="0.45">
      <c r="A55" s="1">
        <f t="shared" si="0"/>
        <v>54</v>
      </c>
      <c r="B55" s="2">
        <v>0.61881601575756218</v>
      </c>
      <c r="C55" s="2">
        <v>0.621</v>
      </c>
      <c r="D55" s="2">
        <v>0.61699999999999999</v>
      </c>
    </row>
    <row r="56" spans="1:4" x14ac:dyDescent="0.45">
      <c r="A56" s="1">
        <f t="shared" si="0"/>
        <v>55</v>
      </c>
      <c r="B56" s="2">
        <v>0.61768400590104289</v>
      </c>
      <c r="C56" s="2">
        <v>0.621</v>
      </c>
      <c r="D56" s="2">
        <v>0.61699999999999999</v>
      </c>
    </row>
    <row r="57" spans="1:4" x14ac:dyDescent="0.45">
      <c r="A57" s="1">
        <f t="shared" si="0"/>
        <v>56</v>
      </c>
      <c r="B57" s="2">
        <v>0.61790806901577167</v>
      </c>
      <c r="C57" s="2">
        <v>0.621</v>
      </c>
      <c r="D57" s="2">
        <v>0.61699999999999999</v>
      </c>
    </row>
    <row r="58" spans="1:4" x14ac:dyDescent="0.45">
      <c r="A58" s="1">
        <f t="shared" si="0"/>
        <v>57</v>
      </c>
      <c r="B58" s="2">
        <v>0.61763205283519351</v>
      </c>
      <c r="C58" s="2">
        <v>0.621</v>
      </c>
      <c r="D58" s="2">
        <v>0.61699999999999999</v>
      </c>
    </row>
    <row r="59" spans="1:4" x14ac:dyDescent="0.45">
      <c r="A59" s="1">
        <f t="shared" si="0"/>
        <v>58</v>
      </c>
      <c r="B59" s="2">
        <v>0.61932041424320783</v>
      </c>
      <c r="C59" s="2">
        <v>0.621</v>
      </c>
      <c r="D59" s="2">
        <v>0.61699999999999999</v>
      </c>
    </row>
    <row r="60" spans="1:4" x14ac:dyDescent="0.45">
      <c r="A60" s="1">
        <f t="shared" si="0"/>
        <v>59</v>
      </c>
      <c r="B60" s="2">
        <v>0.61799683069644384</v>
      </c>
      <c r="C60" s="2">
        <v>0.621</v>
      </c>
      <c r="D60" s="2">
        <v>0.61699999999999999</v>
      </c>
    </row>
    <row r="61" spans="1:4" x14ac:dyDescent="0.45">
      <c r="A61" s="1">
        <f t="shared" si="0"/>
        <v>60</v>
      </c>
      <c r="B61" s="2">
        <v>0.61902543919082387</v>
      </c>
      <c r="C61" s="2">
        <v>0.621</v>
      </c>
      <c r="D61" s="2">
        <v>0.61699999999999999</v>
      </c>
    </row>
    <row r="62" spans="1:4" x14ac:dyDescent="0.45">
      <c r="A62" s="1">
        <f t="shared" si="0"/>
        <v>61</v>
      </c>
      <c r="B62" s="2">
        <v>0.61836057582646031</v>
      </c>
      <c r="C62" s="2">
        <v>0.621</v>
      </c>
      <c r="D62" s="2">
        <v>0.61699999999999999</v>
      </c>
    </row>
    <row r="63" spans="1:4" x14ac:dyDescent="0.45">
      <c r="A63" s="1">
        <f t="shared" si="0"/>
        <v>62</v>
      </c>
      <c r="B63" s="2">
        <v>0.61826893354869394</v>
      </c>
      <c r="C63" s="2">
        <v>0.621</v>
      </c>
      <c r="D63" s="2">
        <v>0.61699999999999999</v>
      </c>
    </row>
    <row r="64" spans="1:4" x14ac:dyDescent="0.45">
      <c r="A64" s="1">
        <f t="shared" si="0"/>
        <v>63</v>
      </c>
      <c r="B64" s="2">
        <v>0.61895554634198202</v>
      </c>
      <c r="C64" s="2">
        <v>0.621</v>
      </c>
      <c r="D64" s="2">
        <v>0.61699999999999999</v>
      </c>
    </row>
    <row r="65" spans="1:4" x14ac:dyDescent="0.45">
      <c r="A65" s="1">
        <f t="shared" si="0"/>
        <v>64</v>
      </c>
      <c r="B65" s="2">
        <v>0.61910483671404659</v>
      </c>
      <c r="C65" s="2">
        <v>0.621</v>
      </c>
      <c r="D65" s="2">
        <v>0.61699999999999999</v>
      </c>
    </row>
    <row r="66" spans="1:4" x14ac:dyDescent="0.45">
      <c r="A66" s="1">
        <f t="shared" si="0"/>
        <v>65</v>
      </c>
      <c r="B66" s="2">
        <v>0.6190105798663863</v>
      </c>
      <c r="C66" s="2">
        <v>0.621</v>
      </c>
      <c r="D66" s="2">
        <v>0.61699999999999999</v>
      </c>
    </row>
    <row r="67" spans="1:4" x14ac:dyDescent="0.45">
      <c r="A67" s="1">
        <f t="shared" si="0"/>
        <v>66</v>
      </c>
      <c r="B67" s="2">
        <v>0.61827234074322046</v>
      </c>
      <c r="C67" s="2">
        <v>0.621</v>
      </c>
      <c r="D67" s="2">
        <v>0.61699999999999999</v>
      </c>
    </row>
    <row r="68" spans="1:4" x14ac:dyDescent="0.45">
      <c r="A68" s="1">
        <f t="shared" ref="A68:A101" si="1">1+A67</f>
        <v>67</v>
      </c>
      <c r="B68" s="2">
        <v>0.6179773165781226</v>
      </c>
      <c r="C68" s="2">
        <v>0.621</v>
      </c>
      <c r="D68" s="2">
        <v>0.61699999999999999</v>
      </c>
    </row>
    <row r="69" spans="1:4" x14ac:dyDescent="0.45">
      <c r="A69" s="1">
        <f t="shared" si="1"/>
        <v>68</v>
      </c>
      <c r="B69" s="2">
        <v>0.61833950169735186</v>
      </c>
      <c r="C69" s="2">
        <v>0.621</v>
      </c>
      <c r="D69" s="2">
        <v>0.61699999999999999</v>
      </c>
    </row>
    <row r="70" spans="1:4" x14ac:dyDescent="0.45">
      <c r="A70" s="1">
        <f t="shared" si="1"/>
        <v>69</v>
      </c>
      <c r="B70" s="2">
        <v>0.61859111431609204</v>
      </c>
      <c r="C70" s="2">
        <v>0.621</v>
      </c>
      <c r="D70" s="2">
        <v>0.61699999999999999</v>
      </c>
    </row>
    <row r="71" spans="1:4" x14ac:dyDescent="0.45">
      <c r="A71" s="1">
        <f t="shared" si="1"/>
        <v>70</v>
      </c>
      <c r="B71" s="2">
        <v>0.61838550189300445</v>
      </c>
      <c r="C71" s="2">
        <v>0.621</v>
      </c>
      <c r="D71" s="2">
        <v>0.61699999999999999</v>
      </c>
    </row>
    <row r="72" spans="1:4" x14ac:dyDescent="0.45">
      <c r="A72" s="1">
        <f t="shared" si="1"/>
        <v>71</v>
      </c>
      <c r="B72" s="2">
        <v>0.61799264247334218</v>
      </c>
      <c r="C72" s="2">
        <v>0.621</v>
      </c>
      <c r="D72" s="2">
        <v>0.61699999999999999</v>
      </c>
    </row>
    <row r="73" spans="1:4" x14ac:dyDescent="0.45">
      <c r="A73" s="1">
        <f t="shared" si="1"/>
        <v>72</v>
      </c>
      <c r="B73" s="2">
        <v>0.6193585147952545</v>
      </c>
      <c r="C73" s="2">
        <v>0.621</v>
      </c>
      <c r="D73" s="2">
        <v>0.61699999999999999</v>
      </c>
    </row>
    <row r="74" spans="1:4" x14ac:dyDescent="0.45">
      <c r="A74" s="1">
        <f t="shared" si="1"/>
        <v>73</v>
      </c>
      <c r="B74" s="2">
        <v>0.61874676751309021</v>
      </c>
      <c r="C74" s="2">
        <v>0.621</v>
      </c>
      <c r="D74" s="2">
        <v>0.61699999999999999</v>
      </c>
    </row>
    <row r="75" spans="1:4" x14ac:dyDescent="0.45">
      <c r="A75" s="1">
        <f t="shared" si="1"/>
        <v>74</v>
      </c>
      <c r="B75" s="2">
        <v>0.61752730633039032</v>
      </c>
      <c r="C75" s="2">
        <v>0.621</v>
      </c>
      <c r="D75" s="2">
        <v>0.61699999999999999</v>
      </c>
    </row>
    <row r="76" spans="1:4" x14ac:dyDescent="0.45">
      <c r="A76" s="1">
        <f t="shared" si="1"/>
        <v>75</v>
      </c>
      <c r="B76" s="2">
        <v>0.61861800557331303</v>
      </c>
      <c r="C76" s="2">
        <v>0.621</v>
      </c>
      <c r="D76" s="2">
        <v>0.61699999999999999</v>
      </c>
    </row>
    <row r="77" spans="1:4" x14ac:dyDescent="0.45">
      <c r="A77" s="1">
        <f t="shared" si="1"/>
        <v>76</v>
      </c>
      <c r="B77" s="2">
        <v>0.61918339386416488</v>
      </c>
      <c r="C77" s="2">
        <v>0.621</v>
      </c>
      <c r="D77" s="2">
        <v>0.61699999999999999</v>
      </c>
    </row>
    <row r="78" spans="1:4" x14ac:dyDescent="0.45">
      <c r="A78" s="1">
        <f t="shared" si="1"/>
        <v>77</v>
      </c>
      <c r="B78" s="2">
        <v>0.61935966621554694</v>
      </c>
      <c r="C78" s="2">
        <v>0.621</v>
      </c>
      <c r="D78" s="2">
        <v>0.61699999999999999</v>
      </c>
    </row>
    <row r="79" spans="1:4" x14ac:dyDescent="0.45">
      <c r="A79" s="1">
        <f t="shared" si="1"/>
        <v>78</v>
      </c>
      <c r="B79" s="2">
        <v>0.61904581278163828</v>
      </c>
      <c r="C79" s="2">
        <v>0.621</v>
      </c>
      <c r="D79" s="2">
        <v>0.61699999999999999</v>
      </c>
    </row>
    <row r="80" spans="1:4" x14ac:dyDescent="0.45">
      <c r="A80" s="1">
        <f t="shared" si="1"/>
        <v>79</v>
      </c>
      <c r="B80" s="2">
        <v>0.61936030740931169</v>
      </c>
      <c r="C80" s="2">
        <v>0.621</v>
      </c>
      <c r="D80" s="2">
        <v>0.61699999999999999</v>
      </c>
    </row>
    <row r="81" spans="1:4" x14ac:dyDescent="0.45">
      <c r="A81" s="1">
        <f t="shared" si="1"/>
        <v>80</v>
      </c>
      <c r="B81" s="2">
        <v>0.61940656612883327</v>
      </c>
      <c r="C81" s="2">
        <v>0.621</v>
      </c>
      <c r="D81" s="2">
        <v>0.61699999999999999</v>
      </c>
    </row>
    <row r="82" spans="1:4" x14ac:dyDescent="0.45">
      <c r="A82" s="1">
        <f t="shared" si="1"/>
        <v>81</v>
      </c>
      <c r="B82" s="2">
        <v>0.61824662409840681</v>
      </c>
      <c r="C82" s="2">
        <v>0.621</v>
      </c>
      <c r="D82" s="2">
        <v>0.61699999999999999</v>
      </c>
    </row>
    <row r="83" spans="1:4" x14ac:dyDescent="0.45">
      <c r="A83" s="1">
        <f t="shared" si="1"/>
        <v>82</v>
      </c>
      <c r="B83" s="2">
        <v>0.6176778299772705</v>
      </c>
      <c r="C83" s="2">
        <v>0.621</v>
      </c>
      <c r="D83" s="2">
        <v>0.61699999999999999</v>
      </c>
    </row>
    <row r="84" spans="1:4" x14ac:dyDescent="0.45">
      <c r="A84" s="1">
        <f t="shared" si="1"/>
        <v>83</v>
      </c>
      <c r="B84" s="2">
        <v>0.61884145614336017</v>
      </c>
      <c r="C84" s="2">
        <v>0.621</v>
      </c>
      <c r="D84" s="2">
        <v>0.61699999999999999</v>
      </c>
    </row>
    <row r="85" spans="1:4" x14ac:dyDescent="0.45">
      <c r="A85" s="1">
        <f t="shared" si="1"/>
        <v>84</v>
      </c>
      <c r="B85" s="2">
        <v>0.61846369479049468</v>
      </c>
      <c r="C85" s="2">
        <v>0.621</v>
      </c>
      <c r="D85" s="2">
        <v>0.61699999999999999</v>
      </c>
    </row>
    <row r="86" spans="1:4" x14ac:dyDescent="0.45">
      <c r="A86" s="1">
        <f t="shared" si="1"/>
        <v>85</v>
      </c>
      <c r="B86" s="2">
        <v>0.61926942160376353</v>
      </c>
      <c r="C86" s="2">
        <v>0.621</v>
      </c>
      <c r="D86" s="2">
        <v>0.61699999999999999</v>
      </c>
    </row>
    <row r="87" spans="1:4" x14ac:dyDescent="0.45">
      <c r="A87" s="1">
        <f t="shared" si="1"/>
        <v>86</v>
      </c>
      <c r="B87" s="2">
        <v>0.61742452979111118</v>
      </c>
      <c r="C87" s="2">
        <v>0.621</v>
      </c>
      <c r="D87" s="2">
        <v>0.61699999999999999</v>
      </c>
    </row>
    <row r="88" spans="1:4" x14ac:dyDescent="0.45">
      <c r="A88" s="1">
        <f t="shared" si="1"/>
        <v>87</v>
      </c>
      <c r="B88" s="2">
        <v>0.61821776969687203</v>
      </c>
      <c r="C88" s="2">
        <v>0.621</v>
      </c>
      <c r="D88" s="2">
        <v>0.61699999999999999</v>
      </c>
    </row>
    <row r="89" spans="1:4" x14ac:dyDescent="0.45">
      <c r="A89" s="1">
        <f t="shared" si="1"/>
        <v>88</v>
      </c>
      <c r="B89" s="2">
        <v>0.61784656898403778</v>
      </c>
      <c r="C89" s="2">
        <v>0.621</v>
      </c>
      <c r="D89" s="2">
        <v>0.61699999999999999</v>
      </c>
    </row>
    <row r="90" spans="1:4" x14ac:dyDescent="0.45">
      <c r="A90" s="1">
        <f t="shared" si="1"/>
        <v>89</v>
      </c>
      <c r="B90" s="2">
        <v>0.61952634112408855</v>
      </c>
      <c r="C90" s="2">
        <v>0.621</v>
      </c>
      <c r="D90" s="2">
        <v>0.61699999999999999</v>
      </c>
    </row>
    <row r="91" spans="1:4" x14ac:dyDescent="0.45">
      <c r="A91" s="1">
        <f t="shared" si="1"/>
        <v>90</v>
      </c>
      <c r="B91" s="2">
        <v>0.61826932917888922</v>
      </c>
      <c r="C91" s="2">
        <v>0.621</v>
      </c>
      <c r="D91" s="2">
        <v>0.61699999999999999</v>
      </c>
    </row>
    <row r="92" spans="1:4" x14ac:dyDescent="0.45">
      <c r="A92" s="1">
        <f t="shared" si="1"/>
        <v>91</v>
      </c>
      <c r="B92" s="2">
        <v>0.61771733569863141</v>
      </c>
      <c r="C92" s="2">
        <v>0.621</v>
      </c>
      <c r="D92" s="2">
        <v>0.61699999999999999</v>
      </c>
    </row>
    <row r="93" spans="1:4" x14ac:dyDescent="0.45">
      <c r="A93" s="1">
        <f t="shared" si="1"/>
        <v>92</v>
      </c>
      <c r="B93" s="2">
        <v>0.61788802557153399</v>
      </c>
      <c r="C93" s="2">
        <v>0.621</v>
      </c>
      <c r="D93" s="2">
        <v>0.61699999999999999</v>
      </c>
    </row>
    <row r="94" spans="1:4" x14ac:dyDescent="0.45">
      <c r="A94" s="1">
        <f t="shared" si="1"/>
        <v>93</v>
      </c>
      <c r="B94" s="2">
        <v>0.61828892719809669</v>
      </c>
      <c r="C94" s="2">
        <v>0.621</v>
      </c>
      <c r="D94" s="2">
        <v>0.61699999999999999</v>
      </c>
    </row>
    <row r="95" spans="1:4" x14ac:dyDescent="0.45">
      <c r="A95" s="1">
        <f t="shared" si="1"/>
        <v>94</v>
      </c>
      <c r="B95" s="2">
        <v>0.61816650079841207</v>
      </c>
      <c r="C95" s="2">
        <v>0.621</v>
      </c>
      <c r="D95" s="2">
        <v>0.61699999999999999</v>
      </c>
    </row>
    <row r="96" spans="1:4" x14ac:dyDescent="0.45">
      <c r="A96" s="1">
        <f t="shared" si="1"/>
        <v>95</v>
      </c>
      <c r="B96" s="2">
        <v>0.61810546256261301</v>
      </c>
      <c r="C96" s="2">
        <v>0.621</v>
      </c>
      <c r="D96" s="2">
        <v>0.61699999999999999</v>
      </c>
    </row>
    <row r="97" spans="1:4" x14ac:dyDescent="0.45">
      <c r="A97" s="1">
        <f t="shared" si="1"/>
        <v>96</v>
      </c>
      <c r="B97" s="2">
        <v>0.61835812291924963</v>
      </c>
      <c r="C97" s="2">
        <v>0.621</v>
      </c>
      <c r="D97" s="2">
        <v>0.61699999999999999</v>
      </c>
    </row>
    <row r="98" spans="1:4" x14ac:dyDescent="0.45">
      <c r="A98" s="1">
        <f t="shared" si="1"/>
        <v>97</v>
      </c>
      <c r="B98" s="2">
        <v>0.61840609853739448</v>
      </c>
      <c r="C98" s="2">
        <v>0.621</v>
      </c>
      <c r="D98" s="2">
        <v>0.61699999999999999</v>
      </c>
    </row>
    <row r="99" spans="1:4" x14ac:dyDescent="0.45">
      <c r="A99" s="1">
        <f t="shared" si="1"/>
        <v>98</v>
      </c>
      <c r="B99" s="2">
        <v>0.61848083376340224</v>
      </c>
      <c r="C99" s="2">
        <v>0.621</v>
      </c>
      <c r="D99" s="2">
        <v>0.61699999999999999</v>
      </c>
    </row>
    <row r="100" spans="1:4" x14ac:dyDescent="0.45">
      <c r="A100" s="1">
        <f t="shared" si="1"/>
        <v>99</v>
      </c>
      <c r="B100" s="2">
        <v>0.61867951515474129</v>
      </c>
      <c r="C100" s="2">
        <v>0.621</v>
      </c>
      <c r="D100" s="2">
        <v>0.61699999999999999</v>
      </c>
    </row>
    <row r="101" spans="1:4" x14ac:dyDescent="0.45">
      <c r="A101" s="1">
        <f t="shared" si="1"/>
        <v>100</v>
      </c>
      <c r="B101" s="2">
        <v>0.618933680270362</v>
      </c>
      <c r="C101" s="2">
        <v>0.621</v>
      </c>
      <c r="D101" s="2">
        <v>0.61699999999999999</v>
      </c>
    </row>
    <row r="103" spans="1:4" x14ac:dyDescent="0.45">
      <c r="A103" s="1" t="s">
        <v>23</v>
      </c>
      <c r="B103" s="2">
        <f>AVERAGE(B2:B101)</f>
        <v>0.61856355865934798</v>
      </c>
    </row>
    <row r="104" spans="1:4" x14ac:dyDescent="0.45">
      <c r="A104" s="1" t="s">
        <v>24</v>
      </c>
      <c r="B104" s="1">
        <f>_xlfn.STDEV.S(B2:B101)</f>
        <v>5.8411641118166313E-4</v>
      </c>
    </row>
    <row r="105" spans="1:4" x14ac:dyDescent="0.45">
      <c r="A105" s="1" t="s">
        <v>25</v>
      </c>
      <c r="B105" s="1">
        <f>B104*B104</f>
        <v>3.4119198181174575E-7</v>
      </c>
    </row>
    <row r="106" spans="1:4" x14ac:dyDescent="0.45">
      <c r="A106" s="1" t="s">
        <v>26</v>
      </c>
      <c r="B106" s="2">
        <v>0.61899999999999999</v>
      </c>
    </row>
    <row r="107" spans="1:4" x14ac:dyDescent="0.45">
      <c r="A107" s="1" t="s">
        <v>27</v>
      </c>
      <c r="B107" s="2">
        <f>B103-B106</f>
        <v>-4.3644134065201623E-4</v>
      </c>
    </row>
    <row r="108" spans="1:4" x14ac:dyDescent="0.45">
      <c r="A108" s="7" t="s">
        <v>28</v>
      </c>
      <c r="B108" s="1">
        <f>B107*B107</f>
        <v>1.9048104383012929E-7</v>
      </c>
    </row>
    <row r="109" spans="1:4" x14ac:dyDescent="0.45">
      <c r="A109" s="1" t="s">
        <v>2</v>
      </c>
      <c r="B109" s="2">
        <v>0.621</v>
      </c>
    </row>
    <row r="110" spans="1:4" x14ac:dyDescent="0.45">
      <c r="A110" s="1" t="s">
        <v>3</v>
      </c>
      <c r="B110" s="2">
        <v>0.61699999999999999</v>
      </c>
    </row>
    <row r="111" spans="1:4" x14ac:dyDescent="0.45">
      <c r="A111" s="1" t="s">
        <v>29</v>
      </c>
      <c r="B111" s="2">
        <f>B109-B110</f>
        <v>4.0000000000000036E-3</v>
      </c>
    </row>
    <row r="112" spans="1:4" x14ac:dyDescent="0.45">
      <c r="A112" s="7" t="s">
        <v>30</v>
      </c>
      <c r="B112" s="1">
        <f>B111/(6*SQRT(B105+B108))</f>
        <v>0.91429517408822403</v>
      </c>
    </row>
  </sheetData>
  <mergeCells count="1">
    <mergeCell ref="F18:G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Harkins</dc:creator>
  <cp:lastModifiedBy>Adesina, Akinade</cp:lastModifiedBy>
  <dcterms:created xsi:type="dcterms:W3CDTF">2025-05-23T18:26:31Z</dcterms:created>
  <dcterms:modified xsi:type="dcterms:W3CDTF">2025-11-15T01:04:31Z</dcterms:modified>
</cp:coreProperties>
</file>