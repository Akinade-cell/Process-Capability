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na\Downloads\"/>
    </mc:Choice>
  </mc:AlternateContent>
  <xr:revisionPtr revIDLastSave="0" documentId="8_{BE73383D-063D-4F34-9DA2-0B3F015F5A2C}" xr6:coauthVersionLast="47" xr6:coauthVersionMax="47" xr10:uidLastSave="{00000000-0000-0000-0000-000000000000}"/>
  <bookViews>
    <workbookView xWindow="-98" yWindow="-98" windowWidth="19396" windowHeight="11475" activeTab="2" xr2:uid="{C21918C2-1FA0-4D99-A7C4-B0800A46BDDE}"/>
  </bookViews>
  <sheets>
    <sheet name="Costing" sheetId="1" r:id="rId1"/>
    <sheet name="Portion OOS" sheetId="2" r:id="rId2"/>
    <sheet name="Costing (2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3" l="1"/>
  <c r="J12" i="3"/>
  <c r="J11" i="3"/>
  <c r="J13" i="3" s="1"/>
  <c r="J15" i="3" s="1"/>
  <c r="J16" i="3" s="1"/>
  <c r="J17" i="3" s="1"/>
  <c r="H12" i="3"/>
  <c r="H11" i="3"/>
  <c r="H13" i="3" s="1"/>
  <c r="F12" i="3"/>
  <c r="F11" i="3"/>
  <c r="C11" i="2"/>
  <c r="C12" i="2" s="1"/>
  <c r="C16" i="2" s="1"/>
  <c r="J11" i="1"/>
  <c r="H11" i="1"/>
  <c r="H10" i="1"/>
  <c r="J10" i="1"/>
  <c r="F9" i="1"/>
  <c r="F10" i="1" s="1"/>
  <c r="F11" i="1" s="1"/>
  <c r="H9" i="1"/>
  <c r="J9" i="1"/>
  <c r="C14" i="2"/>
  <c r="H15" i="3" l="1"/>
  <c r="F15" i="3" s="1"/>
  <c r="F16" i="3" s="1"/>
  <c r="C17" i="2"/>
  <c r="F17" i="3" l="1"/>
  <c r="H16" i="3"/>
  <c r="H17" i="3" s="1"/>
  <c r="M18" i="3" l="1"/>
  <c r="M17" i="3"/>
  <c r="M11" i="1" l="1"/>
  <c r="M12" i="1"/>
</calcChain>
</file>

<file path=xl/sharedStrings.xml><?xml version="1.0" encoding="utf-8"?>
<sst xmlns="http://schemas.openxmlformats.org/spreadsheetml/2006/main" count="37" uniqueCount="20">
  <si>
    <t>Process #1</t>
  </si>
  <si>
    <t>Process #2</t>
  </si>
  <si>
    <t>Process #3</t>
  </si>
  <si>
    <t>Required Finished Goods</t>
  </si>
  <si>
    <t>Defect Rate</t>
  </si>
  <si>
    <t>QTY Required at start of process</t>
  </si>
  <si>
    <t>Scrap Cost / Unit</t>
  </si>
  <si>
    <t>Scrap Cost</t>
  </si>
  <si>
    <t>Total Scrap Cost</t>
  </si>
  <si>
    <t>Total Units Lost</t>
  </si>
  <si>
    <t>Defect Qty</t>
  </si>
  <si>
    <t>X-bar</t>
  </si>
  <si>
    <t>Sigma</t>
  </si>
  <si>
    <t>USL</t>
  </si>
  <si>
    <t>Below USL</t>
  </si>
  <si>
    <t>LSL</t>
  </si>
  <si>
    <t>Above USL</t>
  </si>
  <si>
    <t>Below LSL</t>
  </si>
  <si>
    <t>Total OOS</t>
  </si>
  <si>
    <t>Total in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</si>
</sst>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&quot;$&quot;#,##0.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37" fontId="0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1" Type="http://schemas.openxmlformats.org/officeDocument/2006/relationships/customXml" Target="../ink/ink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5</xdr:row>
      <xdr:rowOff>241300</xdr:rowOff>
    </xdr:from>
    <xdr:to>
      <xdr:col>7</xdr:col>
      <xdr:colOff>0</xdr:colOff>
      <xdr:row>5</xdr:row>
      <xdr:rowOff>244928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2378097-2DA8-4232-8589-A093E461A288}"/>
            </a:ext>
          </a:extLst>
        </xdr:cNvPr>
        <xdr:cNvCxnSpPr/>
      </xdr:nvCxnSpPr>
      <xdr:spPr>
        <a:xfrm>
          <a:off x="4152900" y="1441450"/>
          <a:ext cx="374650" cy="3628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231320</xdr:rowOff>
    </xdr:from>
    <xdr:to>
      <xdr:col>9</xdr:col>
      <xdr:colOff>6804</xdr:colOff>
      <xdr:row>5</xdr:row>
      <xdr:rowOff>231320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2D01BBC-B515-49DB-85B3-7BC9E33DA461}"/>
            </a:ext>
          </a:extLst>
        </xdr:cNvPr>
        <xdr:cNvCxnSpPr/>
      </xdr:nvCxnSpPr>
      <xdr:spPr>
        <a:xfrm>
          <a:off x="5048250" y="1190624"/>
          <a:ext cx="387804" cy="0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2722</xdr:colOff>
      <xdr:row>5</xdr:row>
      <xdr:rowOff>234042</xdr:rowOff>
    </xdr:from>
    <xdr:to>
      <xdr:col>11</xdr:col>
      <xdr:colOff>9526</xdr:colOff>
      <xdr:row>5</xdr:row>
      <xdr:rowOff>234042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FFAFC1C-2400-4C5C-A22C-D684A6768105}"/>
            </a:ext>
          </a:extLst>
        </xdr:cNvPr>
        <xdr:cNvCxnSpPr/>
      </xdr:nvCxnSpPr>
      <xdr:spPr>
        <a:xfrm>
          <a:off x="6044293" y="1193346"/>
          <a:ext cx="387804" cy="0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365850</xdr:colOff>
      <xdr:row>1</xdr:row>
      <xdr:rowOff>79680</xdr:rowOff>
    </xdr:from>
    <xdr:to>
      <xdr:col>4</xdr:col>
      <xdr:colOff>400050</xdr:colOff>
      <xdr:row>1</xdr:row>
      <xdr:rowOff>104160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232F8A9-0D3D-4AB2-885F-21B74F50C7DD}"/>
                </a:ext>
              </a:extLst>
            </xdr14:cNvPr>
            <xdr14:cNvContentPartPr/>
          </xdr14:nvContentPartPr>
          <xdr14:nvPr macro=""/>
          <xdr14:xfrm>
            <a:off x="2937600" y="3318180"/>
            <a:ext cx="34200" cy="24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B708EE0-58D1-4284-8D59-C1983F1CAF0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928960" y="3309180"/>
              <a:ext cx="5184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11602</xdr:colOff>
      <xdr:row>3</xdr:row>
      <xdr:rowOff>7937</xdr:rowOff>
    </xdr:from>
    <xdr:to>
      <xdr:col>12</xdr:col>
      <xdr:colOff>508936</xdr:colOff>
      <xdr:row>23</xdr:row>
      <xdr:rowOff>56783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BAF88C-9474-4C6B-83DC-627DEE87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61371" y="579437"/>
          <a:ext cx="5362411" cy="387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5</xdr:row>
      <xdr:rowOff>241300</xdr:rowOff>
    </xdr:from>
    <xdr:to>
      <xdr:col>7</xdr:col>
      <xdr:colOff>0</xdr:colOff>
      <xdr:row>5</xdr:row>
      <xdr:rowOff>244928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8F90ADE-2C98-4CAA-9B4B-CA55FAA9B38E}"/>
            </a:ext>
          </a:extLst>
        </xdr:cNvPr>
        <xdr:cNvCxnSpPr/>
      </xdr:nvCxnSpPr>
      <xdr:spPr>
        <a:xfrm>
          <a:off x="4149725" y="1441450"/>
          <a:ext cx="374650" cy="3628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231320</xdr:rowOff>
    </xdr:from>
    <xdr:to>
      <xdr:col>9</xdr:col>
      <xdr:colOff>6804</xdr:colOff>
      <xdr:row>5</xdr:row>
      <xdr:rowOff>231320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C682A48-EF71-49B7-8C08-884947771AB3}"/>
            </a:ext>
          </a:extLst>
        </xdr:cNvPr>
        <xdr:cNvCxnSpPr/>
      </xdr:nvCxnSpPr>
      <xdr:spPr>
        <a:xfrm>
          <a:off x="5238750" y="1431470"/>
          <a:ext cx="387804" cy="0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2722</xdr:colOff>
      <xdr:row>5</xdr:row>
      <xdr:rowOff>234042</xdr:rowOff>
    </xdr:from>
    <xdr:to>
      <xdr:col>11</xdr:col>
      <xdr:colOff>9526</xdr:colOff>
      <xdr:row>5</xdr:row>
      <xdr:rowOff>234042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7B0ABAF-0345-4EB1-9F92-B5BC9A625A0E}"/>
            </a:ext>
          </a:extLst>
        </xdr:cNvPr>
        <xdr:cNvCxnSpPr/>
      </xdr:nvCxnSpPr>
      <xdr:spPr>
        <a:xfrm>
          <a:off x="6336847" y="1434192"/>
          <a:ext cx="387804" cy="0"/>
        </a:xfrm>
        <a:prstGeom prst="straightConnector1">
          <a:avLst/>
        </a:prstGeom>
        <a:ln w="2222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2-01T21:48:39.7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 67 3121,'3'-15'881,"-1"1"-177,-1 4-192,-1 0-272,0 2-95,-3-2 47,0 10-240,0 0 16,0 0 64,0 0-80,0 0 16,0 2-80,1-1-145,-1 0-255,1 0-304,0 1-177,1-2-95,1 0-753</inkml:trace>
  <inkml:trace contextRef="#ctx0" brushRef="#br0" timeOffset="1">95 33 1969,'-2'-4'64,"0"2"-32,1-1-32,-2 3 0,-12 6-208,11-4 208,1-1-32,-3-1 32,4 0-256,0 0-225,1-1-591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08EE-4CD8-474E-A4D9-D96CABBAF1ED}">
  <dimension ref="E5:M12"/>
  <sheetViews>
    <sheetView topLeftCell="E5" zoomScale="160" zoomScaleNormal="160" workbookViewId="0">
      <selection activeCell="O6" sqref="O6"/>
    </sheetView>
  </sheetViews>
  <sheetFormatPr defaultColWidth="9.1328125" defaultRowHeight="14.25" x14ac:dyDescent="0.45"/>
  <cols>
    <col min="1" max="4" width="9.1328125" style="1"/>
    <col min="5" max="5" width="14.86328125" style="1" customWidth="1"/>
    <col min="6" max="6" width="10.73046875" style="1" customWidth="1"/>
    <col min="7" max="7" width="5.73046875" style="1" customWidth="1"/>
    <col min="8" max="8" width="10.73046875" style="1" customWidth="1"/>
    <col min="9" max="9" width="5.73046875" style="1" customWidth="1"/>
    <col min="10" max="10" width="10.73046875" style="1" customWidth="1"/>
    <col min="11" max="11" width="5.73046875" style="1" customWidth="1"/>
    <col min="12" max="12" width="10.73046875" style="1" customWidth="1"/>
    <col min="13" max="13" width="11.59765625" style="1" customWidth="1"/>
    <col min="14" max="16384" width="9.1328125" style="1"/>
  </cols>
  <sheetData>
    <row r="5" spans="5:13" s="2" customFormat="1" ht="34.5" customHeight="1" thickBot="1" x14ac:dyDescent="0.5">
      <c r="L5" s="4" t="s">
        <v>3</v>
      </c>
    </row>
    <row r="6" spans="5:13" ht="39" customHeight="1" thickBot="1" x14ac:dyDescent="0.5">
      <c r="F6" s="3" t="s">
        <v>0</v>
      </c>
      <c r="H6" s="3" t="s">
        <v>1</v>
      </c>
      <c r="J6" s="3" t="s">
        <v>2</v>
      </c>
      <c r="L6" s="6">
        <v>50000</v>
      </c>
    </row>
    <row r="7" spans="5:13" x14ac:dyDescent="0.45">
      <c r="E7" s="7" t="s">
        <v>4</v>
      </c>
      <c r="F7" s="5">
        <v>0.04</v>
      </c>
      <c r="G7" s="5"/>
      <c r="H7" s="5">
        <v>1.4999999999999999E-2</v>
      </c>
      <c r="I7" s="5"/>
      <c r="J7" s="5">
        <v>3.5000000000000003E-2</v>
      </c>
    </row>
    <row r="8" spans="5:13" x14ac:dyDescent="0.45">
      <c r="E8" s="7" t="s">
        <v>6</v>
      </c>
      <c r="F8" s="10">
        <v>1</v>
      </c>
      <c r="G8" s="5"/>
      <c r="H8" s="10">
        <v>1.85</v>
      </c>
      <c r="I8" s="5"/>
      <c r="J8" s="10">
        <v>3.35</v>
      </c>
    </row>
    <row r="9" spans="5:13" x14ac:dyDescent="0.45">
      <c r="E9" s="7" t="s">
        <v>5</v>
      </c>
      <c r="F9" s="9">
        <f>H9/(1-F7)</f>
        <v>54794.280353839546</v>
      </c>
      <c r="G9" s="9"/>
      <c r="H9" s="9">
        <f>J9/(1-H7)</f>
        <v>52602.509139685964</v>
      </c>
      <c r="I9" s="9"/>
      <c r="J9" s="9">
        <f>L6/(1-J7)</f>
        <v>51813.471502590677</v>
      </c>
    </row>
    <row r="10" spans="5:13" ht="14.65" thickBot="1" x14ac:dyDescent="0.5">
      <c r="E10" s="7" t="s">
        <v>10</v>
      </c>
      <c r="F10" s="9">
        <f>F9-H9</f>
        <v>2191.7712141535812</v>
      </c>
      <c r="G10" s="9"/>
      <c r="H10" s="9">
        <f>H9-J9</f>
        <v>789.03763709528721</v>
      </c>
      <c r="I10" s="9"/>
      <c r="J10" s="9">
        <f>J9-L6</f>
        <v>1813.4715025906771</v>
      </c>
    </row>
    <row r="11" spans="5:13" ht="14.65" thickBot="1" x14ac:dyDescent="0.5">
      <c r="E11" s="7" t="s">
        <v>7</v>
      </c>
      <c r="F11" s="10">
        <f>F10*F8</f>
        <v>2191.7712141535812</v>
      </c>
      <c r="H11" s="10">
        <f>H10*H8</f>
        <v>1459.7196286262815</v>
      </c>
      <c r="J11" s="10">
        <f>J10*J8</f>
        <v>6075.1295336787689</v>
      </c>
      <c r="L11" s="8" t="s">
        <v>9</v>
      </c>
      <c r="M11" s="11">
        <f>F10+H10+J10</f>
        <v>4794.2803538395456</v>
      </c>
    </row>
    <row r="12" spans="5:13" ht="14.65" thickBot="1" x14ac:dyDescent="0.5">
      <c r="L12" s="8" t="s">
        <v>8</v>
      </c>
      <c r="M12" s="12">
        <f>F11+H11+J11</f>
        <v>9726.6203764586317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7DDB-FE7D-443F-A384-F0A88E89D654}">
  <dimension ref="B5:C17"/>
  <sheetViews>
    <sheetView zoomScale="130" zoomScaleNormal="130" workbookViewId="0">
      <selection activeCell="C14" sqref="C14"/>
    </sheetView>
  </sheetViews>
  <sheetFormatPr defaultColWidth="9.1328125" defaultRowHeight="14.25" x14ac:dyDescent="0.45"/>
  <cols>
    <col min="1" max="1" width="5.265625" style="1" customWidth="1"/>
    <col min="2" max="2" width="13.86328125" style="1" customWidth="1"/>
    <col min="3" max="3" width="10" style="1" customWidth="1"/>
    <col min="4" max="16384" width="9.1328125" style="1"/>
  </cols>
  <sheetData>
    <row r="5" spans="2:3" x14ac:dyDescent="0.45">
      <c r="B5" s="1" t="s">
        <v>13</v>
      </c>
      <c r="C5" s="5">
        <v>6.43</v>
      </c>
    </row>
    <row r="6" spans="2:3" x14ac:dyDescent="0.45">
      <c r="B6" s="1" t="s">
        <v>15</v>
      </c>
      <c r="C6" s="5">
        <v>6.4</v>
      </c>
    </row>
    <row r="8" spans="2:3" x14ac:dyDescent="0.45">
      <c r="B8" s="1" t="s">
        <v>11</v>
      </c>
      <c r="C8" s="1">
        <v>6.4139999999999997</v>
      </c>
    </row>
    <row r="9" spans="2:3" x14ac:dyDescent="0.45">
      <c r="B9" s="1" t="s">
        <v>12</v>
      </c>
      <c r="C9" s="1">
        <v>7.0000000000000001E-3</v>
      </c>
    </row>
    <row r="11" spans="2:3" x14ac:dyDescent="0.45">
      <c r="B11" s="1" t="s">
        <v>14</v>
      </c>
      <c r="C11" s="5">
        <f>_xlfn.NORM.DIST(C5,C8,C9,TRUE)</f>
        <v>0.98886451052038371</v>
      </c>
    </row>
    <row r="12" spans="2:3" x14ac:dyDescent="0.45">
      <c r="B12" s="1" t="s">
        <v>16</v>
      </c>
      <c r="C12" s="5">
        <f>1-C11</f>
        <v>1.113548947961629E-2</v>
      </c>
    </row>
    <row r="13" spans="2:3" x14ac:dyDescent="0.45">
      <c r="C13" s="5"/>
    </row>
    <row r="14" spans="2:3" x14ac:dyDescent="0.45">
      <c r="B14" s="1" t="s">
        <v>17</v>
      </c>
      <c r="C14" s="13">
        <f>_xlfn.NORM.DIST(C6,C8,C9,TRUE)</f>
        <v>2.2750131948184253E-2</v>
      </c>
    </row>
    <row r="15" spans="2:3" ht="14.65" thickBot="1" x14ac:dyDescent="0.5">
      <c r="C15" s="5"/>
    </row>
    <row r="16" spans="2:3" ht="14.65" thickBot="1" x14ac:dyDescent="0.5">
      <c r="B16" s="1" t="s">
        <v>18</v>
      </c>
      <c r="C16" s="14">
        <f>C12+C14</f>
        <v>3.3885621427800543E-2</v>
      </c>
    </row>
    <row r="17" spans="2:3" x14ac:dyDescent="0.45">
      <c r="B17" s="1" t="s">
        <v>19</v>
      </c>
      <c r="C17" s="5">
        <f>C11-C14</f>
        <v>0.96611437857219951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E2F1-F909-44C4-950D-CB45572CC9F1}">
  <dimension ref="E5:M18"/>
  <sheetViews>
    <sheetView tabSelected="1" topLeftCell="D1" zoomScale="150" zoomScaleNormal="150" workbookViewId="0">
      <selection activeCell="F14" sqref="F14"/>
    </sheetView>
  </sheetViews>
  <sheetFormatPr defaultColWidth="9.1328125" defaultRowHeight="14.25" x14ac:dyDescent="0.45"/>
  <cols>
    <col min="1" max="4" width="9.1328125" style="1"/>
    <col min="5" max="5" width="14.86328125" style="7" customWidth="1"/>
    <col min="6" max="6" width="10.73046875" style="1" customWidth="1"/>
    <col min="7" max="7" width="5.73046875" style="1" customWidth="1"/>
    <col min="8" max="8" width="10.73046875" style="1" customWidth="1"/>
    <col min="9" max="9" width="5.73046875" style="1" customWidth="1"/>
    <col min="10" max="10" width="10.73046875" style="1" customWidth="1"/>
    <col min="11" max="11" width="5.73046875" style="1" customWidth="1"/>
    <col min="12" max="12" width="10.73046875" style="1" customWidth="1"/>
    <col min="13" max="13" width="11.59765625" style="1" customWidth="1"/>
    <col min="14" max="16384" width="9.1328125" style="1"/>
  </cols>
  <sheetData>
    <row r="5" spans="5:12" s="2" customFormat="1" ht="34.5" customHeight="1" thickBot="1" x14ac:dyDescent="0.5">
      <c r="E5" s="16"/>
      <c r="L5" s="4" t="s">
        <v>3</v>
      </c>
    </row>
    <row r="6" spans="5:12" ht="39" customHeight="1" thickBot="1" x14ac:dyDescent="0.5">
      <c r="F6" s="3" t="s">
        <v>0</v>
      </c>
      <c r="H6" s="3" t="s">
        <v>1</v>
      </c>
      <c r="J6" s="3" t="s">
        <v>2</v>
      </c>
      <c r="L6" s="6">
        <v>50000</v>
      </c>
    </row>
    <row r="7" spans="5:12" ht="15" customHeight="1" x14ac:dyDescent="0.45">
      <c r="E7" s="7" t="s">
        <v>13</v>
      </c>
      <c r="F7" s="17">
        <v>6.43</v>
      </c>
      <c r="G7" s="5"/>
      <c r="H7" s="17">
        <v>10.5</v>
      </c>
      <c r="I7" s="5"/>
      <c r="J7" s="17">
        <v>8.2200000000000006</v>
      </c>
      <c r="L7" s="15"/>
    </row>
    <row r="8" spans="5:12" ht="15" customHeight="1" x14ac:dyDescent="0.45">
      <c r="E8" s="7" t="s">
        <v>15</v>
      </c>
      <c r="F8" s="17">
        <v>6.4</v>
      </c>
      <c r="G8" s="5"/>
      <c r="H8" s="17">
        <v>10.4</v>
      </c>
      <c r="I8" s="5"/>
      <c r="J8" s="17">
        <v>8.1999999999999993</v>
      </c>
      <c r="L8" s="15"/>
    </row>
    <row r="9" spans="5:12" ht="15" customHeight="1" x14ac:dyDescent="0.45">
      <c r="E9" s="7" t="s">
        <v>11</v>
      </c>
      <c r="F9" s="2">
        <v>6.4139999999999997</v>
      </c>
      <c r="H9" s="2">
        <v>10.45</v>
      </c>
      <c r="J9" s="2">
        <v>8.2149999999999999</v>
      </c>
      <c r="L9" s="15"/>
    </row>
    <row r="10" spans="5:12" ht="15" customHeight="1" x14ac:dyDescent="0.45">
      <c r="E10" s="7" t="s">
        <v>12</v>
      </c>
      <c r="F10" s="2">
        <v>7.0000000000000001E-3</v>
      </c>
      <c r="H10" s="2">
        <v>1.4999999999999999E-2</v>
      </c>
      <c r="J10" s="2">
        <v>5.0000000000000001E-3</v>
      </c>
      <c r="L10" s="15"/>
    </row>
    <row r="11" spans="5:12" ht="15" customHeight="1" x14ac:dyDescent="0.45">
      <c r="E11" s="7" t="s">
        <v>16</v>
      </c>
      <c r="F11" s="18">
        <f>1-_xlfn.NORM.DIST(F7,F9,F10,TRUE)</f>
        <v>1.113548947961629E-2</v>
      </c>
      <c r="H11" s="18">
        <f>1-_xlfn.NORM.DIST(H7,H9,H10,TRUE)</f>
        <v>4.290603331967846E-4</v>
      </c>
      <c r="I11" s="13"/>
      <c r="J11" s="18">
        <f>1-_xlfn.NORM.DIST(J7,J9,J10,TRUE)</f>
        <v>0.15865525393141922</v>
      </c>
      <c r="L11" s="15"/>
    </row>
    <row r="12" spans="5:12" ht="15" customHeight="1" x14ac:dyDescent="0.45">
      <c r="E12" s="7" t="s">
        <v>17</v>
      </c>
      <c r="F12" s="18">
        <f>_xlfn.NORM.DIST(F8,F9,F10,TRUE)</f>
        <v>2.2750131948184253E-2</v>
      </c>
      <c r="H12" s="18">
        <f>_xlfn.NORM.DIST(H8,H9,H10,TRUE)</f>
        <v>4.2906033319694702E-4</v>
      </c>
      <c r="I12" s="13"/>
      <c r="J12" s="18">
        <f>_xlfn.NORM.DIST(J8,J9,J10,TRUE)</f>
        <v>1.3498980316295893E-3</v>
      </c>
      <c r="L12" s="15"/>
    </row>
    <row r="13" spans="5:12" x14ac:dyDescent="0.45">
      <c r="E13" s="7" t="s">
        <v>4</v>
      </c>
      <c r="F13" s="5">
        <f>SUM(F11:F12)</f>
        <v>3.3885621427800543E-2</v>
      </c>
      <c r="G13" s="5"/>
      <c r="H13" s="13">
        <f>SUM(H11:H12)</f>
        <v>8.5812066639373162E-4</v>
      </c>
      <c r="I13" s="13"/>
      <c r="J13" s="13">
        <f>SUM(J11:J12)</f>
        <v>0.16000515196304879</v>
      </c>
    </row>
    <row r="14" spans="5:12" x14ac:dyDescent="0.45">
      <c r="E14" s="7" t="s">
        <v>6</v>
      </c>
      <c r="F14" s="10">
        <v>1</v>
      </c>
      <c r="G14" s="5"/>
      <c r="H14" s="10">
        <v>1.85</v>
      </c>
      <c r="I14" s="5"/>
      <c r="J14" s="10">
        <v>3.35</v>
      </c>
    </row>
    <row r="15" spans="5:12" x14ac:dyDescent="0.45">
      <c r="E15" s="7" t="s">
        <v>5</v>
      </c>
      <c r="F15" s="9">
        <f>H15/(1-F13)</f>
        <v>61664.84912970975</v>
      </c>
      <c r="G15" s="9"/>
      <c r="H15" s="9">
        <f>J15/(1-H13)</f>
        <v>59575.29739669797</v>
      </c>
      <c r="I15" s="9"/>
      <c r="J15" s="9">
        <f>L6/(1-J13)</f>
        <v>59524.174602795312</v>
      </c>
    </row>
    <row r="16" spans="5:12" ht="14.65" thickBot="1" x14ac:dyDescent="0.5">
      <c r="E16" s="7" t="s">
        <v>10</v>
      </c>
      <c r="F16" s="9">
        <f>F15-H15</f>
        <v>2089.55173301178</v>
      </c>
      <c r="G16" s="9"/>
      <c r="H16" s="9">
        <f>H15-J15</f>
        <v>51.122793902657577</v>
      </c>
      <c r="I16" s="9"/>
      <c r="J16" s="9">
        <f>J15-L6</f>
        <v>9524.1746027953122</v>
      </c>
    </row>
    <row r="17" spans="5:13" ht="14.65" thickBot="1" x14ac:dyDescent="0.5">
      <c r="E17" s="7" t="s">
        <v>7</v>
      </c>
      <c r="F17" s="10">
        <f>F16*F14</f>
        <v>2089.55173301178</v>
      </c>
      <c r="H17" s="10">
        <f>H16*H14</f>
        <v>94.577168719916529</v>
      </c>
      <c r="J17" s="10">
        <f>J16*J14</f>
        <v>31905.984919364299</v>
      </c>
      <c r="L17" s="8" t="s">
        <v>9</v>
      </c>
      <c r="M17" s="11">
        <f>F16+H16+J16</f>
        <v>11664.84912970975</v>
      </c>
    </row>
    <row r="18" spans="5:13" ht="14.65" thickBot="1" x14ac:dyDescent="0.5">
      <c r="L18" s="8" t="s">
        <v>8</v>
      </c>
      <c r="M18" s="12">
        <f>F17+H17+J17</f>
        <v>34090.113821095998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Costing</vt:lpstr>
      <vt:lpstr>Portion OOS</vt:lpstr>
      <vt:lpstr>Costing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Adesina, Akinade</cp:lastModifiedBy>
  <dcterms:created xsi:type="dcterms:W3CDTF">2020-02-01T21:29:46Z</dcterms:created>
  <dcterms:modified xsi:type="dcterms:W3CDTF">2025-11-15T01:04:57Z</dcterms:modified>
</cp:coreProperties>
</file>